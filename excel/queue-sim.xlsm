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jwda\Google Drive\01-ejw-data-github\Public\Sim\sim-queue\excel\"/>
    </mc:Choice>
  </mc:AlternateContent>
  <xr:revisionPtr revIDLastSave="0" documentId="13_ncr:1_{9A116255-87FF-4AFF-9E0B-F3E85E750DB0}" xr6:coauthVersionLast="47" xr6:coauthVersionMax="47" xr10:uidLastSave="{00000000-0000-0000-0000-000000000000}"/>
  <bookViews>
    <workbookView xWindow="-28920" yWindow="1170" windowWidth="29040" windowHeight="15720" xr2:uid="{49F64FB7-7B8F-4125-B5B8-0CE56629A66A}"/>
  </bookViews>
  <sheets>
    <sheet name="Simulation" sheetId="1" r:id="rId1"/>
    <sheet name="Notes" sheetId="2" r:id="rId2"/>
  </sheets>
  <definedNames>
    <definedName name="endqueue">Simulation!$S$2</definedName>
    <definedName name="endtime">Simulation!$O$2</definedName>
    <definedName name="endwaittime">Simulation!$Q$2</definedName>
    <definedName name="lambda">Simulation!$C$4</definedName>
    <definedName name="mean">Simulation!$C$5</definedName>
    <definedName name="sd">Simulation!$C$6</definedName>
    <definedName name="service">Simulation!$C$7</definedName>
    <definedName name="serviceSD">Simulation!$C$8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G5" i="1"/>
  <c r="H5" i="1" s="1"/>
  <c r="K5" i="1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C10" i="1" l="1"/>
  <c r="C9" i="1"/>
  <c r="H6" i="1"/>
  <c r="J6" i="1" l="1"/>
  <c r="K6" i="1" s="1"/>
  <c r="H7" i="1"/>
  <c r="J7" i="1" l="1"/>
  <c r="H8" i="1"/>
  <c r="K7" i="1" l="1"/>
  <c r="J8" i="1" s="1"/>
  <c r="K8" i="1" s="1"/>
  <c r="H9" i="1"/>
  <c r="H10" i="1" l="1"/>
  <c r="J9" i="1"/>
  <c r="K9" i="1" s="1"/>
  <c r="H11" i="1" l="1"/>
  <c r="J10" i="1"/>
  <c r="K10" i="1" s="1"/>
  <c r="H12" i="1" l="1"/>
  <c r="J11" i="1"/>
  <c r="K11" i="1" l="1"/>
  <c r="H13" i="1"/>
  <c r="J12" i="1" l="1"/>
  <c r="K12" i="1" s="1"/>
  <c r="J13" i="1" s="1"/>
  <c r="K13" i="1" s="1"/>
  <c r="H14" i="1"/>
  <c r="H15" i="1" l="1"/>
  <c r="J14" i="1"/>
  <c r="K14" i="1" s="1"/>
  <c r="J15" i="1" l="1"/>
  <c r="K15" i="1" s="1"/>
  <c r="H16" i="1"/>
  <c r="J16" i="1" l="1"/>
  <c r="K16" i="1" s="1"/>
  <c r="H17" i="1"/>
  <c r="J17" i="1" l="1"/>
  <c r="K17" i="1" s="1"/>
  <c r="H18" i="1"/>
  <c r="J18" i="1" l="1"/>
  <c r="K18" i="1" s="1"/>
  <c r="H19" i="1"/>
  <c r="J19" i="1" l="1"/>
  <c r="K19" i="1" s="1"/>
  <c r="H20" i="1"/>
  <c r="J20" i="1" l="1"/>
  <c r="K20" i="1" s="1"/>
  <c r="H21" i="1"/>
  <c r="J21" i="1" l="1"/>
  <c r="K21" i="1" s="1"/>
  <c r="H22" i="1"/>
  <c r="J22" i="1" l="1"/>
  <c r="K22" i="1" s="1"/>
  <c r="H23" i="1"/>
  <c r="J23" i="1" l="1"/>
  <c r="K23" i="1" s="1"/>
  <c r="H24" i="1"/>
  <c r="J24" i="1" l="1"/>
  <c r="K24" i="1" s="1"/>
  <c r="H25" i="1"/>
  <c r="J25" i="1" l="1"/>
  <c r="K25" i="1" s="1"/>
  <c r="H26" i="1"/>
  <c r="J26" i="1" l="1"/>
  <c r="K26" i="1" s="1"/>
  <c r="H27" i="1"/>
  <c r="J27" i="1" l="1"/>
  <c r="K27" i="1" s="1"/>
  <c r="H28" i="1"/>
  <c r="J28" i="1" l="1"/>
  <c r="K28" i="1" s="1"/>
  <c r="H29" i="1"/>
  <c r="L22" i="1" s="1"/>
  <c r="L28" i="1" l="1"/>
  <c r="L25" i="1"/>
  <c r="L26" i="1"/>
  <c r="L5" i="1"/>
  <c r="L6" i="1"/>
  <c r="L7" i="1"/>
  <c r="L9" i="1"/>
  <c r="L8" i="1"/>
  <c r="L10" i="1"/>
  <c r="L12" i="1"/>
  <c r="L11" i="1"/>
  <c r="L14" i="1"/>
  <c r="L13" i="1"/>
  <c r="L16" i="1"/>
  <c r="L15" i="1"/>
  <c r="L18" i="1"/>
  <c r="L17" i="1"/>
  <c r="L19" i="1"/>
  <c r="L20" i="1"/>
  <c r="L21" i="1"/>
  <c r="L23" i="1"/>
  <c r="L27" i="1"/>
  <c r="L24" i="1"/>
  <c r="J29" i="1"/>
  <c r="C11" i="1" s="1"/>
  <c r="K29" i="1" l="1"/>
  <c r="L29" i="1" s="1"/>
  <c r="C12" i="1" s="1"/>
  <c r="C13" i="1" l="1"/>
</calcChain>
</file>

<file path=xl/sharedStrings.xml><?xml version="1.0" encoding="utf-8"?>
<sst xmlns="http://schemas.openxmlformats.org/spreadsheetml/2006/main" count="65" uniqueCount="54">
  <si>
    <t>lambda</t>
  </si>
  <si>
    <t>mean</t>
  </si>
  <si>
    <t>sd</t>
  </si>
  <si>
    <t>CONSTANTS</t>
  </si>
  <si>
    <t>Person</t>
  </si>
  <si>
    <t>Service Time</t>
  </si>
  <si>
    <t>Wait Time</t>
  </si>
  <si>
    <t>Leaving Time</t>
  </si>
  <si>
    <t>SIMULATION</t>
  </si>
  <si>
    <t>Check-in, Service-Queue, Leave Scenario</t>
  </si>
  <si>
    <t>DEFINITIONS</t>
  </si>
  <si>
    <t>Arrival Interval</t>
  </si>
  <si>
    <t>Cumulative 
Inter-ArrivalTime</t>
  </si>
  <si>
    <t>Queue</t>
  </si>
  <si>
    <t>VARIABLE</t>
  </si>
  <si>
    <t>CALC</t>
  </si>
  <si>
    <t>average interval of walk-ins</t>
  </si>
  <si>
    <t>standard deviation of walk-ins</t>
  </si>
  <si>
    <t>service-time</t>
  </si>
  <si>
    <t>average service time of simulation</t>
  </si>
  <si>
    <t>average wait time</t>
  </si>
  <si>
    <t>average people in queue</t>
  </si>
  <si>
    <t>maximum people in queue</t>
  </si>
  <si>
    <t>UNITS</t>
  </si>
  <si>
    <t>min</t>
  </si>
  <si>
    <t>average number of arrivals per time period</t>
  </si>
  <si>
    <t>Queue Models</t>
  </si>
  <si>
    <t>Main Inputs</t>
  </si>
  <si>
    <t>lambda - average number of arrivals per time period</t>
  </si>
  <si>
    <t>mu - average number of customers served per time period</t>
  </si>
  <si>
    <t>A/B/C/K/M</t>
  </si>
  <si>
    <t>A - probabilty distribution for the arrival process</t>
  </si>
  <si>
    <t>B - probability distrubution for the service process</t>
  </si>
  <si>
    <t>C - number of channels (objects removing items from the queue)</t>
  </si>
  <si>
    <t>M - maximum number of customers in total</t>
  </si>
  <si>
    <t>K - maximum number of customers allowed in the queue</t>
  </si>
  <si>
    <t>- M for Poisson Arrival Distribution (for arrival or service distrubtion)</t>
  </si>
  <si>
    <t>- D forDeterministic or Constant Value</t>
  </si>
  <si>
    <t>- IK for Erlang Distribution</t>
  </si>
  <si>
    <t>- G for General (mean, variance)</t>
  </si>
  <si>
    <t>Variables Representing Distrubtions</t>
  </si>
  <si>
    <t>Outcomes</t>
  </si>
  <si>
    <t>PO: probability that all servers are idle</t>
  </si>
  <si>
    <t>WQ: long-run average time spent in the queue</t>
  </si>
  <si>
    <t>X: system throughput</t>
  </si>
  <si>
    <t>W: long-run avearge time spent in the system</t>
  </si>
  <si>
    <t>WQQ: long-run average time spent in queue when there is queue in a queueing model</t>
  </si>
  <si>
    <t>LQQ: long-run average number of customers in queue when there is queue in a queueing model</t>
  </si>
  <si>
    <t>L: long-run average number of customrs in the system</t>
  </si>
  <si>
    <t>LQ: long-run average number of customres in the queue</t>
  </si>
  <si>
    <t>RO (P): overall system utilization</t>
  </si>
  <si>
    <t>service-sd</t>
  </si>
  <si>
    <t>time to complete service</t>
  </si>
  <si>
    <t>standard deviation of service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</si>
</sst>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0" xfId="0" applyNumberFormat="1"/>
    <xf numFmtId="0" fontId="0" fillId="0" borderId="0" xfId="0" quotePrefix="1"/>
    <xf numFmtId="164" fontId="1" fillId="0" borderId="0" xfId="0" applyNumberFormat="1" applyFon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73E6088E-E9CF-4F9D-912A-66C758E1690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 Time and Wait</a:t>
            </a:r>
            <a:r>
              <a:rPr lang="en-US" baseline="0"/>
              <a:t> List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Wait List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Simulation!$H$4:$H$19</c:f>
              <c:numCache>
                <c:formatCode>0.000</c:formatCode>
                <c:ptCount val="16"/>
                <c:pt idx="0" formatCode="General">
                  <c:v>0</c:v>
                </c:pt>
                <c:pt idx="1">
                  <c:v>1.3881395593740748</c:v>
                </c:pt>
                <c:pt idx="2">
                  <c:v>4.0028751313006161</c:v>
                </c:pt>
                <c:pt idx="3">
                  <c:v>5.840755116060758</c:v>
                </c:pt>
                <c:pt idx="4">
                  <c:v>7.7745508143585047</c:v>
                </c:pt>
                <c:pt idx="5">
                  <c:v>10.248606246705744</c:v>
                </c:pt>
                <c:pt idx="6">
                  <c:v>12.551804214408786</c:v>
                </c:pt>
                <c:pt idx="7">
                  <c:v>14.067406467149643</c:v>
                </c:pt>
                <c:pt idx="8">
                  <c:v>16.188633573629183</c:v>
                </c:pt>
                <c:pt idx="9">
                  <c:v>18.494491698046126</c:v>
                </c:pt>
                <c:pt idx="10">
                  <c:v>20.404779504496076</c:v>
                </c:pt>
                <c:pt idx="11">
                  <c:v>22.471726178501999</c:v>
                </c:pt>
                <c:pt idx="12">
                  <c:v>24.493261506487485</c:v>
                </c:pt>
                <c:pt idx="13">
                  <c:v>26.128630295370691</c:v>
                </c:pt>
                <c:pt idx="14">
                  <c:v>27.206329761370419</c:v>
                </c:pt>
                <c:pt idx="15">
                  <c:v>28.941310085270946</c:v>
                </c:pt>
              </c:numCache>
            </c:numRef>
          </c:xVal>
          <c:yVal>
            <c:numRef>
              <c:f>Simulation!$L$4:$L$19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15-4403-82F9-476CA1EBED67}"/>
            </c:ext>
          </c:extLst>
        </c:ser>
        <c:ser>
          <c:idx val="1"/>
          <c:order val="1"/>
          <c:tx>
            <c:v>Wait Time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Simulation!$H$4:$H$19</c:f>
              <c:numCache>
                <c:formatCode>0.000</c:formatCode>
                <c:ptCount val="16"/>
                <c:pt idx="0" formatCode="General">
                  <c:v>0</c:v>
                </c:pt>
                <c:pt idx="1">
                  <c:v>1.3881395593740748</c:v>
                </c:pt>
                <c:pt idx="2">
                  <c:v>4.0028751313006161</c:v>
                </c:pt>
                <c:pt idx="3">
                  <c:v>5.840755116060758</c:v>
                </c:pt>
                <c:pt idx="4">
                  <c:v>7.7745508143585047</c:v>
                </c:pt>
                <c:pt idx="5">
                  <c:v>10.248606246705744</c:v>
                </c:pt>
                <c:pt idx="6">
                  <c:v>12.551804214408786</c:v>
                </c:pt>
                <c:pt idx="7">
                  <c:v>14.067406467149643</c:v>
                </c:pt>
                <c:pt idx="8">
                  <c:v>16.188633573629183</c:v>
                </c:pt>
                <c:pt idx="9">
                  <c:v>18.494491698046126</c:v>
                </c:pt>
                <c:pt idx="10">
                  <c:v>20.404779504496076</c:v>
                </c:pt>
                <c:pt idx="11">
                  <c:v>22.471726178501999</c:v>
                </c:pt>
                <c:pt idx="12">
                  <c:v>24.493261506487485</c:v>
                </c:pt>
                <c:pt idx="13">
                  <c:v>26.128630295370691</c:v>
                </c:pt>
                <c:pt idx="14">
                  <c:v>27.206329761370419</c:v>
                </c:pt>
                <c:pt idx="15">
                  <c:v>28.941310085270946</c:v>
                </c:pt>
              </c:numCache>
            </c:numRef>
          </c:xVal>
          <c:yVal>
            <c:numRef>
              <c:f>Simulation!$J$4:$J$19</c:f>
              <c:numCache>
                <c:formatCode>0.000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1.16804880572196</c:v>
                </c:pt>
                <c:pt idx="4">
                  <c:v>2.2010366912070944</c:v>
                </c:pt>
                <c:pt idx="5">
                  <c:v>3.4515747990822199</c:v>
                </c:pt>
                <c:pt idx="6">
                  <c:v>3.9388232429490166</c:v>
                </c:pt>
                <c:pt idx="7">
                  <c:v>6.1014161557349365</c:v>
                </c:pt>
                <c:pt idx="8">
                  <c:v>7.3698055140707694</c:v>
                </c:pt>
                <c:pt idx="9">
                  <c:v>7.4448409164156466</c:v>
                </c:pt>
                <c:pt idx="10">
                  <c:v>7.9536712510487213</c:v>
                </c:pt>
                <c:pt idx="11">
                  <c:v>10.338988330599459</c:v>
                </c:pt>
                <c:pt idx="12">
                  <c:v>11.633628885701356</c:v>
                </c:pt>
                <c:pt idx="13">
                  <c:v>12.80228381474668</c:v>
                </c:pt>
                <c:pt idx="14">
                  <c:v>14.872118141753795</c:v>
                </c:pt>
                <c:pt idx="15">
                  <c:v>16.031172022970932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15-4403-82F9-476CA1EBE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710736"/>
        <c:axId val="279533120"/>
      </c:scatterChart>
      <c:valAx>
        <c:axId val="28771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533120"/>
        <c:crosses val="autoZero"/>
        <c:crossBetween val="midCat"/>
      </c:valAx>
      <c:valAx>
        <c:axId val="2795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Wait Time (min) and # in Queue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71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904875</xdr:colOff>
          <xdr:row>0</xdr:row>
          <xdr:rowOff>133350</xdr:rowOff>
        </xdr:from>
        <xdr:to>
          <xdr:col>12</xdr:col>
          <xdr:colOff>0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 Time Exceeded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609599</xdr:colOff>
      <xdr:row>3</xdr:row>
      <xdr:rowOff>14287</xdr:rowOff>
    </xdr:from>
    <xdr:to>
      <xdr:col>21</xdr:col>
      <xdr:colOff>9524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FBEDD-EA08-4C66-8853-499934BDC351}">
  <sheetPr codeName="Sheet1"/>
  <dimension ref="A1:N50"/>
  <sheetViews>
    <sheetView tabSelected="1" topLeftCell="C1" workbookViewId="0">
      <selection activeCell="K7" sqref="K7"/>
    </sheetView>
  </sheetViews>
  <sheetFormatPr defaultRowHeight="15" x14ac:dyDescent="0.25"/>
  <cols>
    <col min="1" max="1" width="12.140625" bestFit="1" customWidth="1"/>
    <col min="2" max="2" width="40.7109375" customWidth="1"/>
    <col min="3" max="3" width="11.7109375" customWidth="1"/>
    <col min="7" max="7" width="14.5703125" bestFit="1" customWidth="1"/>
    <col min="8" max="8" width="16.5703125" customWidth="1"/>
    <col min="9" max="9" width="12.5703125" bestFit="1" customWidth="1"/>
    <col min="10" max="11" width="13.7109375" bestFit="1" customWidth="1"/>
    <col min="12" max="12" width="9.42578125" style="1" customWidth="1"/>
    <col min="14" max="14" width="13.5703125" bestFit="1" customWidth="1"/>
    <col min="16" max="16" width="14.42578125" bestFit="1" customWidth="1"/>
    <col min="18" max="18" width="10.28515625" bestFit="1" customWidth="1"/>
  </cols>
  <sheetData>
    <row r="1" spans="1:14" x14ac:dyDescent="0.25">
      <c r="A1" s="4" t="s">
        <v>8</v>
      </c>
      <c r="B1" s="4" t="s">
        <v>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x14ac:dyDescent="0.25">
      <c r="A3" s="4" t="s">
        <v>14</v>
      </c>
      <c r="B3" s="4" t="s">
        <v>10</v>
      </c>
      <c r="C3" s="4" t="s">
        <v>3</v>
      </c>
      <c r="D3" s="4" t="s">
        <v>23</v>
      </c>
      <c r="E3" s="4"/>
      <c r="F3" s="4" t="s">
        <v>4</v>
      </c>
      <c r="G3" s="4" t="s">
        <v>11</v>
      </c>
      <c r="H3" s="4" t="s">
        <v>12</v>
      </c>
      <c r="I3" s="4" t="s">
        <v>5</v>
      </c>
      <c r="J3" s="4" t="s">
        <v>6</v>
      </c>
      <c r="K3" s="4" t="s">
        <v>7</v>
      </c>
      <c r="L3" s="4" t="s">
        <v>13</v>
      </c>
      <c r="M3" s="4"/>
      <c r="N3" s="4"/>
    </row>
    <row r="4" spans="1:14" x14ac:dyDescent="0.25">
      <c r="A4" s="4" t="s">
        <v>0</v>
      </c>
      <c r="B4" s="4" t="s">
        <v>25</v>
      </c>
      <c r="C4" s="4">
        <v>1</v>
      </c>
      <c r="D4" s="4"/>
      <c r="E4" s="4"/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/>
      <c r="N4" s="4"/>
    </row>
    <row r="5" spans="1:14" x14ac:dyDescent="0.25">
      <c r="A5" s="4" t="s">
        <v>1</v>
      </c>
      <c r="B5" s="4" t="s">
        <v>16</v>
      </c>
      <c r="C5" s="4">
        <v>2</v>
      </c>
      <c r="D5" s="4" t="s">
        <v>24</v>
      </c>
      <c r="E5" s="4"/>
      <c r="F5" s="4">
        <v>1</v>
      </c>
      <c r="G5" s="5">
        <f t="shared" ref="G5:G29" ca="1" si="0">_xlfn.NORM.INV(RAND(), mean, sd)*lambda</f>
        <v>1.3881395593740748</v>
      </c>
      <c r="H5" s="5">
        <f ca="1">G5</f>
        <v>1.3881395593740748</v>
      </c>
      <c r="I5" s="5">
        <f t="shared" ref="I5:I29" ca="1" si="1">_xlfn.NORM.INV(RAND(), service, serviceSD)*lambda</f>
        <v>2.2998481132671538</v>
      </c>
      <c r="J5" s="5">
        <v>0</v>
      </c>
      <c r="K5" s="5">
        <f ca="1">H5+I5+J5</f>
        <v>3.6879876726412286</v>
      </c>
      <c r="L5" s="4">
        <f ca="1">COUNTIF($H$4:$H$29,"&lt;"&amp;K5)-COUNTIF($H$4:$H$29,"&lt;"&amp;H5)-1</f>
        <v>0</v>
      </c>
      <c r="M5" s="4"/>
      <c r="N5" s="4"/>
    </row>
    <row r="6" spans="1:14" x14ac:dyDescent="0.25">
      <c r="A6" s="4" t="s">
        <v>2</v>
      </c>
      <c r="B6" s="4" t="s">
        <v>17</v>
      </c>
      <c r="C6" s="4">
        <v>0.5</v>
      </c>
      <c r="D6" s="4" t="s">
        <v>24</v>
      </c>
      <c r="E6" s="4"/>
      <c r="F6" s="4">
        <v>2</v>
      </c>
      <c r="G6" s="5">
        <f t="shared" ca="1" si="0"/>
        <v>2.6147355719265408</v>
      </c>
      <c r="H6" s="5">
        <f ca="1">H5+G6</f>
        <v>4.0028751313006161</v>
      </c>
      <c r="I6" s="5">
        <f t="shared" ca="1" si="1"/>
        <v>3.0059287904821015</v>
      </c>
      <c r="J6" s="5">
        <f ca="1">MAX(0, K5-H6)</f>
        <v>0</v>
      </c>
      <c r="K6" s="5">
        <f ca="1">H6+I6+J6</f>
        <v>7.008803921782718</v>
      </c>
      <c r="L6" s="4">
        <f t="shared" ref="L6:L29" ca="1" si="2">COUNTIF($H$4:$H$29,"&lt;"&amp;K6)-COUNTIF($H$4:$H$29,"&lt;"&amp;H6)-1</f>
        <v>1</v>
      </c>
      <c r="M6" s="4"/>
      <c r="N6" s="4"/>
    </row>
    <row r="7" spans="1:14" x14ac:dyDescent="0.25">
      <c r="A7" s="4" t="s">
        <v>18</v>
      </c>
      <c r="B7" s="4" t="s">
        <v>52</v>
      </c>
      <c r="C7" s="4">
        <v>3</v>
      </c>
      <c r="D7" s="4" t="s">
        <v>24</v>
      </c>
      <c r="E7" s="4"/>
      <c r="F7" s="4">
        <v>3</v>
      </c>
      <c r="G7" s="5">
        <f t="shared" ca="1" si="0"/>
        <v>1.8378799847601417</v>
      </c>
      <c r="H7" s="5">
        <f t="shared" ref="H7:H29" ca="1" si="3">H6+G7</f>
        <v>5.840755116060758</v>
      </c>
      <c r="I7" s="5">
        <f t="shared" ca="1" si="1"/>
        <v>2.9667835837828802</v>
      </c>
      <c r="J7" s="5">
        <f ca="1">MAX(0, K6-H7)</f>
        <v>1.16804880572196</v>
      </c>
      <c r="K7" s="5">
        <f t="shared" ref="K7:K14" ca="1" si="4">H7+I7+J7</f>
        <v>9.9755875055655991</v>
      </c>
      <c r="L7" s="4">
        <f t="shared" ca="1" si="2"/>
        <v>1</v>
      </c>
      <c r="M7" s="4"/>
      <c r="N7" s="4"/>
    </row>
    <row r="8" spans="1:14" x14ac:dyDescent="0.25">
      <c r="A8" s="4" t="s">
        <v>51</v>
      </c>
      <c r="B8" s="4" t="s">
        <v>53</v>
      </c>
      <c r="C8" s="4">
        <v>0.5</v>
      </c>
      <c r="D8" s="4" t="s">
        <v>24</v>
      </c>
      <c r="E8" s="4"/>
      <c r="F8" s="4">
        <v>4</v>
      </c>
      <c r="G8" s="5">
        <f t="shared" ca="1" si="0"/>
        <v>1.9337956982977469</v>
      </c>
      <c r="H8" s="5">
        <f t="shared" ca="1" si="3"/>
        <v>7.7745508143585047</v>
      </c>
      <c r="I8" s="5">
        <f t="shared" ca="1" si="1"/>
        <v>3.7245935402223669</v>
      </c>
      <c r="J8" s="5">
        <f t="shared" ref="J7:J14" ca="1" si="5">MAX(0, K7-H8)</f>
        <v>2.2010366912070944</v>
      </c>
      <c r="K8" s="5">
        <f t="shared" ca="1" si="4"/>
        <v>13.700181045787964</v>
      </c>
      <c r="L8" s="4">
        <f t="shared" ca="1" si="2"/>
        <v>2</v>
      </c>
      <c r="M8" s="4"/>
      <c r="N8" s="4"/>
    </row>
    <row r="9" spans="1:14" x14ac:dyDescent="0.25">
      <c r="A9" s="4" t="s">
        <v>15</v>
      </c>
      <c r="B9" s="4" t="s">
        <v>16</v>
      </c>
      <c r="C9" s="6">
        <f ca="1">AVERAGE(G5:G29)</f>
        <v>1.8833530812625439</v>
      </c>
      <c r="D9" s="4" t="s">
        <v>24</v>
      </c>
      <c r="E9" s="4"/>
      <c r="F9" s="4">
        <v>5</v>
      </c>
      <c r="G9" s="5">
        <f t="shared" ca="1" si="0"/>
        <v>2.4740554323472406</v>
      </c>
      <c r="H9" s="5">
        <f t="shared" ca="1" si="3"/>
        <v>10.248606246705744</v>
      </c>
      <c r="I9" s="5">
        <f t="shared" ca="1" si="1"/>
        <v>2.7904464115698366</v>
      </c>
      <c r="J9" s="5">
        <f t="shared" ca="1" si="5"/>
        <v>3.4515747990822199</v>
      </c>
      <c r="K9" s="5">
        <f t="shared" ca="1" si="4"/>
        <v>16.490627457357803</v>
      </c>
      <c r="L9" s="4">
        <f t="shared" ca="1" si="2"/>
        <v>3</v>
      </c>
      <c r="M9" s="4"/>
      <c r="N9" s="4"/>
    </row>
    <row r="10" spans="1:14" x14ac:dyDescent="0.25">
      <c r="A10" s="4" t="s">
        <v>15</v>
      </c>
      <c r="B10" s="4" t="s">
        <v>19</v>
      </c>
      <c r="C10" s="6">
        <f ca="1">AVERAGE(I5:I29)</f>
        <v>3.1154880904566227</v>
      </c>
      <c r="D10" s="4" t="s">
        <v>24</v>
      </c>
      <c r="E10" s="4"/>
      <c r="F10" s="4">
        <v>6</v>
      </c>
      <c r="G10" s="5">
        <f t="shared" ca="1" si="0"/>
        <v>2.3031979677030421</v>
      </c>
      <c r="H10" s="5">
        <f t="shared" ca="1" si="3"/>
        <v>12.551804214408786</v>
      </c>
      <c r="I10" s="5">
        <f t="shared" ca="1" si="1"/>
        <v>3.6781951655267751</v>
      </c>
      <c r="J10" s="5">
        <f t="shared" ca="1" si="5"/>
        <v>3.9388232429490166</v>
      </c>
      <c r="K10" s="5">
        <f t="shared" ca="1" si="4"/>
        <v>20.16882262288458</v>
      </c>
      <c r="L10" s="4">
        <f t="shared" ca="1" si="2"/>
        <v>3</v>
      </c>
      <c r="M10" s="4"/>
      <c r="N10" s="4"/>
    </row>
    <row r="11" spans="1:14" x14ac:dyDescent="0.25">
      <c r="A11" s="4" t="s">
        <v>15</v>
      </c>
      <c r="B11" s="4" t="s">
        <v>20</v>
      </c>
      <c r="C11" s="6">
        <f ca="1">AVERAGE(J5:J29)</f>
        <v>13.657507039754803</v>
      </c>
      <c r="D11" s="4" t="s">
        <v>24</v>
      </c>
      <c r="E11" s="4"/>
      <c r="F11" s="4">
        <v>7</v>
      </c>
      <c r="G11" s="5">
        <f t="shared" ca="1" si="0"/>
        <v>1.5156022527408577</v>
      </c>
      <c r="H11" s="5">
        <f t="shared" ca="1" si="3"/>
        <v>14.067406467149643</v>
      </c>
      <c r="I11" s="5">
        <f t="shared" ca="1" si="1"/>
        <v>3.3896164648153748</v>
      </c>
      <c r="J11" s="5">
        <f t="shared" ca="1" si="5"/>
        <v>6.1014161557349365</v>
      </c>
      <c r="K11" s="5">
        <f t="shared" ca="1" si="4"/>
        <v>23.558439087699952</v>
      </c>
      <c r="L11" s="4">
        <f t="shared" ca="1" si="2"/>
        <v>4</v>
      </c>
      <c r="M11" s="4"/>
      <c r="N11" s="4"/>
    </row>
    <row r="12" spans="1:14" x14ac:dyDescent="0.25">
      <c r="A12" s="4" t="s">
        <v>15</v>
      </c>
      <c r="B12" s="4" t="s">
        <v>21</v>
      </c>
      <c r="C12" s="6">
        <f ca="1">AVERAGE(L4:L29)</f>
        <v>4.5</v>
      </c>
      <c r="D12" s="4"/>
      <c r="E12" s="4"/>
      <c r="F12" s="4">
        <v>8</v>
      </c>
      <c r="G12" s="5">
        <f t="shared" ca="1" si="0"/>
        <v>2.1212271064795409</v>
      </c>
      <c r="H12" s="5">
        <f t="shared" ca="1" si="3"/>
        <v>16.188633573629183</v>
      </c>
      <c r="I12" s="5">
        <f t="shared" ca="1" si="1"/>
        <v>2.3808935267618199</v>
      </c>
      <c r="J12" s="5">
        <f t="shared" ca="1" si="5"/>
        <v>7.3698055140707694</v>
      </c>
      <c r="K12" s="5">
        <f t="shared" ca="1" si="4"/>
        <v>25.939332614461772</v>
      </c>
      <c r="L12" s="4">
        <f t="shared" ca="1" si="2"/>
        <v>4</v>
      </c>
      <c r="M12" s="4"/>
      <c r="N12" s="4"/>
    </row>
    <row r="13" spans="1:14" x14ac:dyDescent="0.25">
      <c r="A13" s="4" t="s">
        <v>15</v>
      </c>
      <c r="B13" s="4" t="s">
        <v>22</v>
      </c>
      <c r="C13" s="4">
        <f ca="1">MAX(L4:L29)</f>
        <v>10</v>
      </c>
      <c r="D13" s="4"/>
      <c r="E13" s="4"/>
      <c r="F13" s="4">
        <v>9</v>
      </c>
      <c r="G13" s="5">
        <f t="shared" ca="1" si="0"/>
        <v>2.3058581244169414</v>
      </c>
      <c r="H13" s="5">
        <f t="shared" ca="1" si="3"/>
        <v>18.494491698046126</v>
      </c>
      <c r="I13" s="5">
        <f t="shared" ca="1" si="1"/>
        <v>2.4191181410830236</v>
      </c>
      <c r="J13" s="5">
        <f t="shared" ca="1" si="5"/>
        <v>7.4448409164156466</v>
      </c>
      <c r="K13" s="5">
        <f t="shared" ca="1" si="4"/>
        <v>28.358450755544798</v>
      </c>
      <c r="L13" s="4">
        <f t="shared" ca="1" si="2"/>
        <v>5</v>
      </c>
      <c r="M13" s="4"/>
      <c r="N13" s="4"/>
    </row>
    <row r="14" spans="1:14" x14ac:dyDescent="0.25">
      <c r="A14" s="4"/>
      <c r="B14" s="4"/>
      <c r="C14" s="4"/>
      <c r="D14" s="4"/>
      <c r="E14" s="4"/>
      <c r="F14" s="4">
        <v>10</v>
      </c>
      <c r="G14" s="5">
        <f t="shared" ca="1" si="0"/>
        <v>1.9102878064499493</v>
      </c>
      <c r="H14" s="5">
        <f t="shared" ca="1" si="3"/>
        <v>20.404779504496076</v>
      </c>
      <c r="I14" s="5">
        <f t="shared" ca="1" si="1"/>
        <v>4.4522637535566592</v>
      </c>
      <c r="J14" s="5">
        <f t="shared" ca="1" si="5"/>
        <v>7.9536712510487213</v>
      </c>
      <c r="K14" s="5">
        <f t="shared" ca="1" si="4"/>
        <v>32.810714509101459</v>
      </c>
      <c r="L14" s="4">
        <f t="shared" ca="1" si="2"/>
        <v>7</v>
      </c>
      <c r="M14" s="4"/>
      <c r="N14" s="4"/>
    </row>
    <row r="15" spans="1:14" x14ac:dyDescent="0.25">
      <c r="A15" s="4"/>
      <c r="B15" s="4"/>
      <c r="C15" s="4"/>
      <c r="D15" s="4"/>
      <c r="E15" s="4"/>
      <c r="F15" s="4">
        <v>11</v>
      </c>
      <c r="G15" s="5">
        <f t="shared" ca="1" si="0"/>
        <v>2.0669466740059228</v>
      </c>
      <c r="H15" s="5">
        <f t="shared" ca="1" si="3"/>
        <v>22.471726178501999</v>
      </c>
      <c r="I15" s="5">
        <f t="shared" ca="1" si="1"/>
        <v>3.3161758830873813</v>
      </c>
      <c r="J15" s="5">
        <f t="shared" ref="J15:J29" ca="1" si="6">MAX(0, K14-H15)</f>
        <v>10.338988330599459</v>
      </c>
      <c r="K15" s="5">
        <f t="shared" ref="K15:K29" ca="1" si="7">H15+I15+J15</f>
        <v>36.126890392188841</v>
      </c>
      <c r="L15" s="4">
        <f t="shared" ca="1" si="2"/>
        <v>7</v>
      </c>
      <c r="M15" s="4"/>
      <c r="N15" s="4"/>
    </row>
    <row r="16" spans="1:14" x14ac:dyDescent="0.25">
      <c r="A16" s="4"/>
      <c r="B16" s="4"/>
      <c r="C16" s="4"/>
      <c r="D16" s="4"/>
      <c r="E16" s="4"/>
      <c r="F16" s="4">
        <v>12</v>
      </c>
      <c r="G16" s="5">
        <f t="shared" ca="1" si="0"/>
        <v>2.0215353279854873</v>
      </c>
      <c r="H16" s="5">
        <f t="shared" ca="1" si="3"/>
        <v>24.493261506487485</v>
      </c>
      <c r="I16" s="5">
        <f t="shared" ca="1" si="1"/>
        <v>2.8040237179285281</v>
      </c>
      <c r="J16" s="5">
        <f t="shared" ca="1" si="6"/>
        <v>11.633628885701356</v>
      </c>
      <c r="K16" s="5">
        <f t="shared" ca="1" si="7"/>
        <v>38.930914110117371</v>
      </c>
      <c r="L16" s="4">
        <f t="shared" ca="1" si="2"/>
        <v>8</v>
      </c>
      <c r="M16" s="4"/>
      <c r="N16" s="4"/>
    </row>
    <row r="17" spans="1:14" x14ac:dyDescent="0.25">
      <c r="A17" s="4"/>
      <c r="B17" s="4"/>
      <c r="C17" s="4"/>
      <c r="D17" s="4"/>
      <c r="E17" s="4"/>
      <c r="F17" s="4">
        <v>13</v>
      </c>
      <c r="G17" s="5">
        <f t="shared" ca="1" si="0"/>
        <v>1.6353687888832051</v>
      </c>
      <c r="H17" s="5">
        <f t="shared" ca="1" si="3"/>
        <v>26.128630295370691</v>
      </c>
      <c r="I17" s="5">
        <f t="shared" ca="1" si="1"/>
        <v>3.1475337930068394</v>
      </c>
      <c r="J17" s="5">
        <f t="shared" ca="1" si="6"/>
        <v>12.80228381474668</v>
      </c>
      <c r="K17" s="5">
        <f t="shared" ca="1" si="7"/>
        <v>42.078447903124214</v>
      </c>
      <c r="L17" s="4">
        <f t="shared" ca="1" si="2"/>
        <v>8</v>
      </c>
      <c r="M17" s="4"/>
      <c r="N17" s="4"/>
    </row>
    <row r="18" spans="1:14" x14ac:dyDescent="0.25">
      <c r="A18" s="4"/>
      <c r="B18" s="4"/>
      <c r="C18" s="4"/>
      <c r="D18" s="4"/>
      <c r="E18" s="4"/>
      <c r="F18" s="4">
        <v>14</v>
      </c>
      <c r="G18" s="5">
        <f t="shared" ca="1" si="0"/>
        <v>1.0776994659997268</v>
      </c>
      <c r="H18" s="5">
        <f t="shared" ca="1" si="3"/>
        <v>27.206329761370419</v>
      </c>
      <c r="I18" s="5">
        <f t="shared" ca="1" si="1"/>
        <v>2.8940342051176624</v>
      </c>
      <c r="J18" s="5">
        <f t="shared" ca="1" si="6"/>
        <v>14.872118141753795</v>
      </c>
      <c r="K18" s="5">
        <f t="shared" ca="1" si="7"/>
        <v>44.972482108241877</v>
      </c>
      <c r="L18" s="4">
        <f t="shared" ca="1" si="2"/>
        <v>9</v>
      </c>
      <c r="M18" s="4"/>
      <c r="N18" s="4"/>
    </row>
    <row r="19" spans="1:14" x14ac:dyDescent="0.25">
      <c r="A19" s="4"/>
      <c r="B19" s="4"/>
      <c r="C19" s="4"/>
      <c r="D19" s="4"/>
      <c r="E19" s="4"/>
      <c r="F19" s="4">
        <v>15</v>
      </c>
      <c r="G19" s="5">
        <f t="shared" ca="1" si="0"/>
        <v>1.7349803239005253</v>
      </c>
      <c r="H19" s="5">
        <f t="shared" ca="1" si="3"/>
        <v>28.941310085270946</v>
      </c>
      <c r="I19" s="5">
        <f t="shared" ca="1" si="1"/>
        <v>3.5864573493981751</v>
      </c>
      <c r="J19" s="5">
        <f t="shared" ca="1" si="6"/>
        <v>16.031172022970932</v>
      </c>
      <c r="K19" s="3">
        <f t="shared" ca="1" si="7"/>
        <v>48.558939457640051</v>
      </c>
      <c r="L19" s="4">
        <f t="shared" ca="1" si="2"/>
        <v>10</v>
      </c>
      <c r="M19" s="4"/>
      <c r="N19" s="4"/>
    </row>
    <row r="20" spans="1:14" x14ac:dyDescent="0.25">
      <c r="A20" s="4"/>
      <c r="B20" s="4"/>
      <c r="C20" s="4"/>
      <c r="D20" s="4"/>
      <c r="E20" s="4"/>
      <c r="F20" s="4">
        <v>16</v>
      </c>
      <c r="G20" s="5">
        <f t="shared" ca="1" si="0"/>
        <v>1.3427412591414503</v>
      </c>
      <c r="H20" s="5">
        <f t="shared" ca="1" si="3"/>
        <v>30.284051344412397</v>
      </c>
      <c r="I20" s="5">
        <f t="shared" ca="1" si="1"/>
        <v>3.3215390114397549</v>
      </c>
      <c r="J20" s="5">
        <f t="shared" ca="1" si="6"/>
        <v>18.274888113227654</v>
      </c>
      <c r="K20" s="5">
        <f t="shared" ca="1" si="7"/>
        <v>51.880478469079804</v>
      </c>
      <c r="L20" s="4">
        <f t="shared" ca="1" si="2"/>
        <v>9</v>
      </c>
      <c r="M20" s="4"/>
      <c r="N20" s="4"/>
    </row>
    <row r="21" spans="1:14" x14ac:dyDescent="0.25">
      <c r="A21" s="4"/>
      <c r="B21" s="4"/>
      <c r="C21" s="4"/>
      <c r="D21" s="4"/>
      <c r="E21" s="4"/>
      <c r="F21" s="4">
        <v>17</v>
      </c>
      <c r="G21" s="5">
        <f t="shared" ca="1" si="0"/>
        <v>2.1942692082022002</v>
      </c>
      <c r="H21" s="5">
        <f t="shared" ca="1" si="3"/>
        <v>32.478320552614598</v>
      </c>
      <c r="I21" s="5">
        <f t="shared" ca="1" si="1"/>
        <v>3.7907355189382743</v>
      </c>
      <c r="J21" s="5">
        <f t="shared" ca="1" si="6"/>
        <v>19.402157916465207</v>
      </c>
      <c r="K21" s="5">
        <f t="shared" ca="1" si="7"/>
        <v>55.671213988018081</v>
      </c>
      <c r="L21" s="4">
        <f t="shared" ca="1" si="2"/>
        <v>8</v>
      </c>
      <c r="M21" s="4"/>
      <c r="N21" s="4"/>
    </row>
    <row r="22" spans="1:14" x14ac:dyDescent="0.25">
      <c r="A22" s="4"/>
      <c r="B22" s="4"/>
      <c r="C22" s="4"/>
      <c r="D22" s="4"/>
      <c r="E22" s="4"/>
      <c r="F22" s="4">
        <v>18</v>
      </c>
      <c r="G22" s="5">
        <f t="shared" ca="1" si="0"/>
        <v>1.5783379022037327</v>
      </c>
      <c r="H22" s="5">
        <f t="shared" ca="1" si="3"/>
        <v>34.056658454818333</v>
      </c>
      <c r="I22" s="5">
        <f t="shared" ca="1" si="1"/>
        <v>2.8209344920270505</v>
      </c>
      <c r="J22" s="5">
        <f t="shared" ca="1" si="6"/>
        <v>21.614555533199749</v>
      </c>
      <c r="K22" s="5">
        <f t="shared" ca="1" si="7"/>
        <v>58.492148480045131</v>
      </c>
      <c r="L22" s="4">
        <f t="shared" ca="1" si="2"/>
        <v>7</v>
      </c>
      <c r="M22" s="4"/>
      <c r="N22" s="4"/>
    </row>
    <row r="23" spans="1:14" x14ac:dyDescent="0.25">
      <c r="A23" s="4"/>
      <c r="B23" s="4"/>
      <c r="C23" s="4"/>
      <c r="D23" s="4"/>
      <c r="E23" s="4"/>
      <c r="F23" s="4">
        <v>19</v>
      </c>
      <c r="G23" s="5">
        <f t="shared" ca="1" si="0"/>
        <v>2.1599710950393991</v>
      </c>
      <c r="H23" s="5">
        <f t="shared" ca="1" si="3"/>
        <v>36.216629549857728</v>
      </c>
      <c r="I23" s="5">
        <f t="shared" ca="1" si="1"/>
        <v>3.039108934107579</v>
      </c>
      <c r="J23" s="5">
        <f t="shared" ca="1" si="6"/>
        <v>22.275518930187403</v>
      </c>
      <c r="K23" s="5">
        <f t="shared" ca="1" si="7"/>
        <v>61.531257414152712</v>
      </c>
      <c r="L23" s="4">
        <f t="shared" ca="1" si="2"/>
        <v>6</v>
      </c>
      <c r="M23" s="4"/>
      <c r="N23" s="4"/>
    </row>
    <row r="24" spans="1:14" x14ac:dyDescent="0.25">
      <c r="A24" s="4"/>
      <c r="B24" s="4"/>
      <c r="C24" s="4"/>
      <c r="D24" s="4"/>
      <c r="E24" s="4"/>
      <c r="F24" s="4">
        <v>20</v>
      </c>
      <c r="G24" s="5">
        <f t="shared" ca="1" si="0"/>
        <v>2.3193683599915151</v>
      </c>
      <c r="H24" s="5">
        <f t="shared" ca="1" si="3"/>
        <v>38.535997909849243</v>
      </c>
      <c r="I24" s="5">
        <f t="shared" ca="1" si="1"/>
        <v>3.0969966859241396</v>
      </c>
      <c r="J24" s="5">
        <f t="shared" ca="1" si="6"/>
        <v>22.995259504303469</v>
      </c>
      <c r="K24" s="5">
        <f t="shared" ca="1" si="7"/>
        <v>64.628254100076845</v>
      </c>
      <c r="L24" s="4">
        <f t="shared" ca="1" si="2"/>
        <v>5</v>
      </c>
      <c r="M24" s="4"/>
      <c r="N24" s="4"/>
    </row>
    <row r="25" spans="1:14" x14ac:dyDescent="0.25">
      <c r="A25" s="4"/>
      <c r="B25" s="4"/>
      <c r="C25" s="4"/>
      <c r="D25" s="4"/>
      <c r="E25" s="4"/>
      <c r="F25" s="4">
        <v>21</v>
      </c>
      <c r="G25" s="5">
        <f t="shared" ca="1" si="0"/>
        <v>2.3294989676477398</v>
      </c>
      <c r="H25" s="5">
        <f t="shared" ca="1" si="3"/>
        <v>40.86549687749698</v>
      </c>
      <c r="I25" s="5">
        <f t="shared" ca="1" si="1"/>
        <v>2.7099542099826959</v>
      </c>
      <c r="J25" s="5">
        <f t="shared" ca="1" si="6"/>
        <v>23.762757222579864</v>
      </c>
      <c r="K25" s="5">
        <f t="shared" ca="1" si="7"/>
        <v>67.338208310059542</v>
      </c>
      <c r="L25" s="4">
        <f t="shared" ca="1" si="2"/>
        <v>4</v>
      </c>
      <c r="M25" s="4"/>
      <c r="N25" s="4"/>
    </row>
    <row r="26" spans="1:14" x14ac:dyDescent="0.25">
      <c r="A26" s="4"/>
      <c r="B26" s="4"/>
      <c r="C26" s="4"/>
      <c r="D26" s="4"/>
      <c r="E26" s="4"/>
      <c r="F26" s="4">
        <v>22</v>
      </c>
      <c r="G26" s="5">
        <f t="shared" ca="1" si="0"/>
        <v>1.9683242141995936</v>
      </c>
      <c r="H26" s="5">
        <f t="shared" ca="1" si="3"/>
        <v>42.833821091696571</v>
      </c>
      <c r="I26" s="5">
        <f t="shared" ca="1" si="1"/>
        <v>3.1875082397775558</v>
      </c>
      <c r="J26" s="5">
        <f t="shared" ca="1" si="6"/>
        <v>24.504387218362972</v>
      </c>
      <c r="K26" s="5">
        <f t="shared" ca="1" si="7"/>
        <v>70.525716549837099</v>
      </c>
      <c r="L26" s="4">
        <f t="shared" ca="1" si="2"/>
        <v>3</v>
      </c>
      <c r="M26" s="4"/>
      <c r="N26" s="4"/>
    </row>
    <row r="27" spans="1:14" x14ac:dyDescent="0.25">
      <c r="A27" s="4"/>
      <c r="B27" s="4"/>
      <c r="C27" s="4"/>
      <c r="D27" s="4"/>
      <c r="E27" s="4"/>
      <c r="F27" s="4">
        <v>23</v>
      </c>
      <c r="G27" s="5">
        <f t="shared" ca="1" si="0"/>
        <v>1.1183961542537388</v>
      </c>
      <c r="H27" s="5">
        <f t="shared" ca="1" si="3"/>
        <v>43.952217245950308</v>
      </c>
      <c r="I27" s="5">
        <f t="shared" ca="1" si="1"/>
        <v>2.8508316544450754</v>
      </c>
      <c r="J27" s="5">
        <f t="shared" ca="1" si="6"/>
        <v>26.573499303886791</v>
      </c>
      <c r="K27" s="5">
        <f t="shared" ca="1" si="7"/>
        <v>73.376548204282173</v>
      </c>
      <c r="L27" s="4">
        <f t="shared" ca="1" si="2"/>
        <v>2</v>
      </c>
      <c r="M27" s="4"/>
      <c r="N27" s="4"/>
    </row>
    <row r="28" spans="1:14" x14ac:dyDescent="0.25">
      <c r="A28" s="4"/>
      <c r="B28" s="4"/>
      <c r="C28" s="4"/>
      <c r="D28" s="4"/>
      <c r="E28" s="4"/>
      <c r="F28" s="4">
        <v>24</v>
      </c>
      <c r="G28" s="5">
        <f t="shared" ca="1" si="0"/>
        <v>1.8088330100547252</v>
      </c>
      <c r="H28" s="5">
        <f t="shared" ca="1" si="3"/>
        <v>45.761050256005035</v>
      </c>
      <c r="I28" s="5">
        <f t="shared" ca="1" si="1"/>
        <v>2.8190245586585934</v>
      </c>
      <c r="J28" s="5">
        <f t="shared" ca="1" si="6"/>
        <v>27.615497948277138</v>
      </c>
      <c r="K28" s="5">
        <f t="shared" ca="1" si="7"/>
        <v>76.19557276294077</v>
      </c>
      <c r="L28" s="4">
        <f t="shared" ca="1" si="2"/>
        <v>1</v>
      </c>
      <c r="M28" s="4"/>
      <c r="N28" s="4"/>
    </row>
    <row r="29" spans="1:14" x14ac:dyDescent="0.25">
      <c r="A29" s="4"/>
      <c r="B29" s="4"/>
      <c r="C29" s="4"/>
      <c r="D29" s="4"/>
      <c r="E29" s="4"/>
      <c r="F29" s="4">
        <v>25</v>
      </c>
      <c r="G29" s="5">
        <f t="shared" ca="1" si="0"/>
        <v>1.3227767755585602</v>
      </c>
      <c r="H29" s="3">
        <f t="shared" ca="1" si="3"/>
        <v>47.083827031563594</v>
      </c>
      <c r="I29" s="5">
        <f t="shared" ca="1" si="1"/>
        <v>3.3946565165082565</v>
      </c>
      <c r="J29" s="5">
        <f t="shared" ca="1" si="6"/>
        <v>29.111745731377177</v>
      </c>
      <c r="K29" s="5">
        <f t="shared" ca="1" si="7"/>
        <v>79.590229279449034</v>
      </c>
      <c r="L29" s="4">
        <f t="shared" ca="1" si="2"/>
        <v>0</v>
      </c>
      <c r="M29" s="4"/>
      <c r="N29" s="4"/>
    </row>
    <row r="30" spans="1:14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4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</row>
    <row r="32" spans="1:14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</row>
    <row r="33" spans="1:14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</row>
    <row r="34" spans="1:14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</row>
    <row r="35" spans="1:14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</row>
    <row r="36" spans="1:14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</row>
    <row r="37" spans="1:14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</row>
    <row r="38" spans="1:14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</row>
    <row r="39" spans="1:14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</row>
    <row r="40" spans="1:14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1:14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</row>
    <row r="42" spans="1:14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</row>
    <row r="43" spans="1:14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</row>
    <row r="45" spans="1:14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</row>
    <row r="46" spans="1:14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</row>
    <row r="47" spans="1:14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</row>
    <row r="48" spans="1:14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</row>
    <row r="50" spans="1:14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simTime">
                <anchor moveWithCells="1">
                  <from>
                    <xdr:col>9</xdr:col>
                    <xdr:colOff>904875</xdr:colOff>
                    <xdr:row>0</xdr:row>
                    <xdr:rowOff>133350</xdr:rowOff>
                  </from>
                  <to>
                    <xdr:col>12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EF14-13FC-4613-93AD-AD58F19D6A77}">
  <sheetPr codeName="Sheet2"/>
  <dimension ref="A1:A29"/>
  <sheetViews>
    <sheetView workbookViewId="0">
      <selection activeCell="A27" sqref="A27"/>
    </sheetView>
  </sheetViews>
  <sheetFormatPr defaultRowHeight="15" x14ac:dyDescent="0.25"/>
  <cols>
    <col min="1" max="1" width="88.28515625" bestFit="1" customWidth="1"/>
  </cols>
  <sheetData>
    <row r="1" spans="1:1" x14ac:dyDescent="0.25">
      <c r="A1" t="s">
        <v>26</v>
      </c>
    </row>
    <row r="3" spans="1:1" x14ac:dyDescent="0.25">
      <c r="A3" t="s">
        <v>27</v>
      </c>
    </row>
    <row r="4" spans="1:1" x14ac:dyDescent="0.25">
      <c r="A4" t="s">
        <v>28</v>
      </c>
    </row>
    <row r="5" spans="1:1" x14ac:dyDescent="0.25">
      <c r="A5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35</v>
      </c>
    </row>
    <row r="12" spans="1:1" x14ac:dyDescent="0.25">
      <c r="A12" t="s">
        <v>34</v>
      </c>
    </row>
    <row r="14" spans="1:1" x14ac:dyDescent="0.25">
      <c r="A14" t="s">
        <v>40</v>
      </c>
    </row>
    <row r="15" spans="1:1" x14ac:dyDescent="0.25">
      <c r="A15" s="2" t="s">
        <v>36</v>
      </c>
    </row>
    <row r="16" spans="1:1" x14ac:dyDescent="0.25">
      <c r="A16" s="2" t="s">
        <v>37</v>
      </c>
    </row>
    <row r="17" spans="1:1" x14ac:dyDescent="0.25">
      <c r="A17" s="2" t="s">
        <v>38</v>
      </c>
    </row>
    <row r="18" spans="1:1" x14ac:dyDescent="0.25">
      <c r="A18" s="2" t="s">
        <v>39</v>
      </c>
    </row>
    <row r="20" spans="1:1" x14ac:dyDescent="0.25">
      <c r="A20" t="s">
        <v>41</v>
      </c>
    </row>
    <row r="21" spans="1:1" x14ac:dyDescent="0.25">
      <c r="A21" t="s">
        <v>50</v>
      </c>
    </row>
    <row r="22" spans="1:1" x14ac:dyDescent="0.25">
      <c r="A22" t="s">
        <v>42</v>
      </c>
    </row>
    <row r="23" spans="1:1" x14ac:dyDescent="0.25">
      <c r="A23" t="s">
        <v>49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48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Simulation</vt:lpstr>
      <vt:lpstr>Notes</vt:lpstr>
      <vt:lpstr>endqueue</vt:lpstr>
      <vt:lpstr>endtime</vt:lpstr>
      <vt:lpstr>endwaittime</vt:lpstr>
      <vt:lpstr>lambda</vt:lpstr>
      <vt:lpstr>mean</vt:lpstr>
      <vt:lpstr>sd</vt:lpstr>
      <vt:lpstr>service</vt:lpstr>
      <vt:lpstr>serviceSD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ejw.data@gmail.com</dc:creator>
  <cp:lastModifiedBy>ejw.data@gmail.com</cp:lastModifiedBy>
  <dcterms:created xsi:type="dcterms:W3CDTF">2023-07-18T13:26:28Z</dcterms:created>
  <dcterms:modified xsi:type="dcterms:W3CDTF">2023-07-19T01:00:07Z</dcterms:modified>
</cp:coreProperties>
</file>